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Conesa" sheetId="1" r:id="rId5"/>
    <sheet state="visible" name="Leyenda y Metodología" sheetId="2" r:id="rId6"/>
  </sheets>
  <definedNames/>
  <calcPr/>
</workbook>
</file>

<file path=xl/sharedStrings.xml><?xml version="1.0" encoding="utf-8"?>
<sst xmlns="http://schemas.openxmlformats.org/spreadsheetml/2006/main" count="136" uniqueCount="112">
  <si>
    <t>MATRIZ DE EVALUACIÓN DE IMPACTO AMBIENTAL – MÉTODO DE CONESA</t>
  </si>
  <si>
    <t>I = ±[3IN + 2EX + MO + PE + RV + SI + AC + EF + PR + MC]     |     &lt; 25: Irrelevante  |  25–50: Moderado  |  50–75: Severo  |  ≥ 75: Crítico</t>
  </si>
  <si>
    <t>ID</t>
  </si>
  <si>
    <t>Componente
Ambiental</t>
  </si>
  <si>
    <t>Impacto Ambiental</t>
  </si>
  <si>
    <t>Sig.</t>
  </si>
  <si>
    <t xml:space="preserve">
Intensidad</t>
  </si>
  <si>
    <t xml:space="preserve">
Extensión</t>
  </si>
  <si>
    <t xml:space="preserve">
Momento</t>
  </si>
  <si>
    <t xml:space="preserve">
Persistencia</t>
  </si>
  <si>
    <t xml:space="preserve">
Reversib.</t>
  </si>
  <si>
    <t xml:space="preserve">
Sinergia</t>
  </si>
  <si>
    <t xml:space="preserve">
Acumul.</t>
  </si>
  <si>
    <t xml:space="preserve">
Efecto</t>
  </si>
  <si>
    <t xml:space="preserve">
Periodic.</t>
  </si>
  <si>
    <t xml:space="preserve">
Recuperab.</t>
  </si>
  <si>
    <t>IMPORTANCIA
(I)
=±[3IN+2EX+
MO+PE+RV+
SI+AC+EF+PR+MC]</t>
  </si>
  <si>
    <t>SIGNIFICANCIA</t>
  </si>
  <si>
    <t>1</t>
  </si>
  <si>
    <t>Recurso hídrico</t>
  </si>
  <si>
    <t>Reducción de contaminación de fuentes hídricas por agroquímicos</t>
  </si>
  <si>
    <t>+</t>
  </si>
  <si>
    <t>Moderado</t>
  </si>
  <si>
    <t>2</t>
  </si>
  <si>
    <t>Suelo</t>
  </si>
  <si>
    <t>Disminución del riesgo de lixiviación de agroquímicos al suelo</t>
  </si>
  <si>
    <t>3</t>
  </si>
  <si>
    <t>Atmósfera</t>
  </si>
  <si>
    <t>Reducción de la deriva de agroquímicos</t>
  </si>
  <si>
    <t>4</t>
  </si>
  <si>
    <t>Socioeconómico</t>
  </si>
  <si>
    <t>Optimización del uso de insumos agrícolas</t>
  </si>
  <si>
    <t>5</t>
  </si>
  <si>
    <t>Normativo</t>
  </si>
  <si>
    <t>Mejora en el cumplimiento normativo ambiental</t>
  </si>
  <si>
    <t>6</t>
  </si>
  <si>
    <t>Flora y fauna</t>
  </si>
  <si>
    <t>Protección de la biodiversidad</t>
  </si>
  <si>
    <t>7</t>
  </si>
  <si>
    <t>Energético</t>
  </si>
  <si>
    <t>Consumo de energía eléctrica para operación de servidores</t>
  </si>
  <si>
    <t>-</t>
  </si>
  <si>
    <t>8</t>
  </si>
  <si>
    <t xml:space="preserve">Carga operativa adicional por registro </t>
  </si>
  <si>
    <t xml:space="preserve">Irrelevante </t>
  </si>
  <si>
    <t>9</t>
  </si>
  <si>
    <t>Operativo</t>
  </si>
  <si>
    <t>Sobreconfianza en las recomendaciones de la aplicación</t>
  </si>
  <si>
    <t>10</t>
  </si>
  <si>
    <t>Dependencia tecnológica del operador:</t>
  </si>
  <si>
    <t>RESUMEN DE IMPACTOS</t>
  </si>
  <si>
    <t>Positivos</t>
  </si>
  <si>
    <t>Negativos</t>
  </si>
  <si>
    <t>Irrelevantes</t>
  </si>
  <si>
    <t>Moderados</t>
  </si>
  <si>
    <t>Severos</t>
  </si>
  <si>
    <t>Críticos</t>
  </si>
  <si>
    <t>ATRIBUTOS</t>
  </si>
  <si>
    <t>Símbolo</t>
  </si>
  <si>
    <t>Atributo</t>
  </si>
  <si>
    <t>Valores</t>
  </si>
  <si>
    <t>Descripción</t>
  </si>
  <si>
    <t>IN</t>
  </si>
  <si>
    <t>Intensidad (grado de destrucción/beneficio)</t>
  </si>
  <si>
    <t>1/2/4/8/12</t>
  </si>
  <si>
    <t>Baja / Media / Alta / Muy Alta / Total</t>
  </si>
  <si>
    <t>EX</t>
  </si>
  <si>
    <t>Extensión (área de influencia)</t>
  </si>
  <si>
    <t>1/2/4/8</t>
  </si>
  <si>
    <t>Puntual / Parcial / Extenso / Total</t>
  </si>
  <si>
    <t>MO</t>
  </si>
  <si>
    <t>Momento (plazo de manifestación)</t>
  </si>
  <si>
    <t>1/2/4</t>
  </si>
  <si>
    <t>Largo / Medio / Inmediato plazo</t>
  </si>
  <si>
    <t>PE</t>
  </si>
  <si>
    <t>Persistencia (permanencia del efecto)</t>
  </si>
  <si>
    <t>Fugaz / Temporal / Permanente</t>
  </si>
  <si>
    <t>RV</t>
  </si>
  <si>
    <t>Reversibilidad</t>
  </si>
  <si>
    <t>Corto / Medio plazo / Irreversible</t>
  </si>
  <si>
    <t>SI</t>
  </si>
  <si>
    <t>Sinergia</t>
  </si>
  <si>
    <t>Sin sinergismo / Sinérgico / Muy sinérgico</t>
  </si>
  <si>
    <t>AC</t>
  </si>
  <si>
    <t>Acumulación</t>
  </si>
  <si>
    <t>1/4</t>
  </si>
  <si>
    <t>Simple / Acumulativo</t>
  </si>
  <si>
    <t>EF</t>
  </si>
  <si>
    <t>Efecto (causa-efecto)</t>
  </si>
  <si>
    <t>Indirecto / Directo</t>
  </si>
  <si>
    <t>PR</t>
  </si>
  <si>
    <t>Periodicidad</t>
  </si>
  <si>
    <t>Irregular / Periódico / Continuo</t>
  </si>
  <si>
    <t>MC</t>
  </si>
  <si>
    <t>Recuperabilidad</t>
  </si>
  <si>
    <t>Recuperable inmediato / medio plazo / Mitigable / Irrecuperable</t>
  </si>
  <si>
    <t>RANGOS DE SIGNIFICANCIA</t>
  </si>
  <si>
    <t>Rango</t>
  </si>
  <si>
    <t>Significado</t>
  </si>
  <si>
    <t>Color indicativo</t>
  </si>
  <si>
    <t>I &lt; 25</t>
  </si>
  <si>
    <t>Impacto Irrelevante</t>
  </si>
  <si>
    <t>Verde</t>
  </si>
  <si>
    <t>25 ≤ I &lt; 50</t>
  </si>
  <si>
    <t>Impacto Moderado</t>
  </si>
  <si>
    <t>Amarillo</t>
  </si>
  <si>
    <t>50 ≤ I &lt; 75</t>
  </si>
  <si>
    <t>Impacto Severo</t>
  </si>
  <si>
    <t>Naranja</t>
  </si>
  <si>
    <t>I ≥ 75</t>
  </si>
  <si>
    <t>Impacto Crítico</t>
  </si>
  <si>
    <t>Rojo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</si>
</sst>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rgb="FFFFFFFF"/>
      <name val="Calibri"/>
    </font>
    <font/>
    <font>
      <b/>
      <sz val="10.0"/>
      <color rgb="FF1F4E79"/>
      <name val="Calibri"/>
    </font>
    <font>
      <b/>
      <sz val="9.0"/>
      <color rgb="FFFFFFFF"/>
      <name val="Calibri"/>
    </font>
    <font>
      <b/>
      <sz val="9.0"/>
      <color rgb="FF000000"/>
      <name val="Calibri"/>
    </font>
    <font>
      <sz val="9.0"/>
      <color rgb="FF000000"/>
      <name val="Calibri"/>
    </font>
    <font>
      <b/>
      <sz val="11.0"/>
      <color rgb="FF1F4E79"/>
      <name val="Calibri"/>
    </font>
    <font>
      <b/>
      <sz val="10.0"/>
      <color rgb="FF000000"/>
      <name val="Calibri"/>
    </font>
    <font>
      <b/>
      <sz val="11.0"/>
      <color rgb="FFC00000"/>
      <name val="Calibri"/>
    </font>
    <font>
      <b/>
      <sz val="10.0"/>
      <color rgb="FFFFFFFF"/>
      <name val="Calibri"/>
    </font>
    <font>
      <b/>
      <sz val="12.0"/>
      <color rgb="FF000000"/>
      <name val="Calibri"/>
    </font>
    <font>
      <sz val="9.0"/>
      <color rgb="FFFFFFFF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2E75B6"/>
        <bgColor rgb="FF2E75B6"/>
      </patternFill>
    </fill>
    <fill>
      <patternFill patternType="solid">
        <fgColor rgb="FF1A3A5C"/>
        <bgColor rgb="FF1A3A5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AF4EA"/>
        <bgColor rgb="FFEAF4EA"/>
      </patternFill>
    </fill>
    <fill>
      <patternFill patternType="solid">
        <fgColor rgb="FFEBF3FB"/>
        <bgColor rgb="FFEBF3FB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DECEA"/>
        <bgColor rgb="FFFDECEA"/>
      </patternFill>
    </fill>
    <fill>
      <patternFill patternType="solid">
        <fgColor rgb="FF00FF00"/>
        <bgColor rgb="FF00FF00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EB9C"/>
        <bgColor rgb="FFFFEB9C"/>
      </patternFill>
    </fill>
    <fill>
      <patternFill patternType="solid">
        <fgColor rgb="FFFF7F7F"/>
        <bgColor rgb="FFFF7F7F"/>
      </patternFill>
    </fill>
    <fill>
      <patternFill patternType="solid">
        <fgColor rgb="FFD6E4F0"/>
        <bgColor rgb="FFD6E4F0"/>
      </patternFill>
    </fill>
    <fill>
      <patternFill patternType="solid">
        <fgColor rgb="FFF9F9F9"/>
        <bgColor rgb="FFF9F9F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5" fillId="8" fontId="7" numFmtId="0" xfId="0" applyAlignment="1" applyBorder="1" applyFill="1" applyFont="1">
      <alignment horizontal="center" shrinkToFit="0" vertical="center" wrapText="1"/>
    </xf>
    <xf borderId="5" fillId="9" fontId="6" numFmtId="0" xfId="0" applyAlignment="1" applyBorder="1" applyFill="1" applyFont="1">
      <alignment horizontal="center" readingOrder="0" shrinkToFit="0" vertical="center" wrapText="1"/>
    </xf>
    <xf borderId="5" fillId="9" fontId="6" numFmtId="0" xfId="0" applyAlignment="1" applyBorder="1" applyFont="1">
      <alignment horizontal="center" shrinkToFit="0" vertical="center" wrapText="1"/>
    </xf>
    <xf borderId="5" fillId="10" fontId="8" numFmtId="0" xfId="0" applyAlignment="1" applyBorder="1" applyFill="1" applyFont="1">
      <alignment horizontal="center" shrinkToFit="0" vertical="center" wrapText="1"/>
    </xf>
    <xf borderId="5" fillId="11" fontId="5" numFmtId="0" xfId="0" applyAlignment="1" applyBorder="1" applyFill="1" applyFont="1">
      <alignment horizontal="center" shrinkToFit="0" vertical="center" wrapText="1"/>
    </xf>
    <xf borderId="5" fillId="12" fontId="9" numFmtId="0" xfId="0" applyAlignment="1" applyBorder="1" applyFill="1" applyFont="1">
      <alignment horizontal="center" shrinkToFit="0" vertical="center" wrapText="1"/>
    </xf>
    <xf borderId="5" fillId="7" fontId="6" numFmtId="0" xfId="0" applyAlignment="1" applyBorder="1" applyFont="1">
      <alignment horizontal="center" readingOrder="0" shrinkToFit="0" vertical="center" wrapText="1"/>
    </xf>
    <xf borderId="5" fillId="13" fontId="5" numFmtId="0" xfId="0" applyAlignment="1" applyBorder="1" applyFill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9" fontId="6" numFmtId="0" xfId="0" applyAlignment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vertical="center"/>
    </xf>
    <xf borderId="5" fillId="4" fontId="4" numFmtId="0" xfId="0" applyAlignment="1" applyBorder="1" applyFont="1">
      <alignment horizontal="center" vertical="center"/>
    </xf>
    <xf borderId="5" fillId="14" fontId="11" numFmtId="0" xfId="0" applyAlignment="1" applyBorder="1" applyFill="1" applyFont="1">
      <alignment horizontal="center" vertical="center"/>
    </xf>
    <xf borderId="5" fillId="15" fontId="11" numFmtId="0" xfId="0" applyAlignment="1" applyBorder="1" applyFill="1" applyFont="1">
      <alignment horizontal="center" readingOrder="0" vertical="center"/>
    </xf>
    <xf borderId="5" fillId="14" fontId="11" numFmtId="0" xfId="0" applyAlignment="1" applyBorder="1" applyFont="1">
      <alignment horizontal="center" readingOrder="0" vertical="center"/>
    </xf>
    <xf borderId="5" fillId="16" fontId="11" numFmtId="0" xfId="0" applyAlignment="1" applyBorder="1" applyFill="1" applyFont="1">
      <alignment horizontal="center" readingOrder="0" vertical="center"/>
    </xf>
    <xf borderId="5" fillId="10" fontId="11" numFmtId="0" xfId="0" applyAlignment="1" applyBorder="1" applyFont="1">
      <alignment horizontal="center" readingOrder="0" vertical="center"/>
    </xf>
    <xf borderId="5" fillId="17" fontId="11" numFmtId="0" xfId="0" applyAlignment="1" applyBorder="1" applyFill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18" fontId="6" numFmtId="0" xfId="0" applyAlignment="1" applyBorder="1" applyFill="1" applyFont="1">
      <alignment horizontal="center" shrinkToFit="0" vertical="center" wrapText="1"/>
    </xf>
    <xf borderId="5" fillId="19" fontId="6" numFmtId="0" xfId="0" applyAlignment="1" applyBorder="1" applyFill="1" applyFont="1">
      <alignment horizontal="center" shrinkToFit="0" vertical="center" wrapText="1"/>
    </xf>
    <xf borderId="5" fillId="18" fontId="5" numFmtId="0" xfId="0" applyAlignment="1" applyBorder="1" applyFont="1">
      <alignment horizontal="center" shrinkToFit="0" vertical="center" wrapText="1"/>
    </xf>
    <xf borderId="5" fillId="14" fontId="6" numFmtId="0" xfId="0" applyAlignment="1" applyBorder="1" applyFont="1">
      <alignment horizontal="center" shrinkToFit="0" vertical="center" wrapText="1"/>
    </xf>
    <xf borderId="5" fillId="16" fontId="6" numFmtId="0" xfId="0" applyAlignment="1" applyBorder="1" applyFont="1">
      <alignment horizontal="center" shrinkToFit="0" vertical="center" wrapText="1"/>
    </xf>
    <xf borderId="5" fillId="10" fontId="6" numFmtId="0" xfId="0" applyAlignment="1" applyBorder="1" applyFont="1">
      <alignment horizontal="center" shrinkToFit="0" vertical="center" wrapText="1"/>
    </xf>
    <xf borderId="5" fillId="17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34.71"/>
    <col customWidth="1" min="4" max="4" width="10.86"/>
    <col customWidth="1" min="5" max="5" width="10.43"/>
    <col customWidth="1" min="6" max="6" width="8.71"/>
    <col customWidth="1" min="7" max="7" width="9.0"/>
    <col customWidth="1" min="8" max="8" width="10.57"/>
    <col customWidth="1" min="9" max="13" width="8.0"/>
    <col customWidth="1" min="14" max="14" width="9.57"/>
    <col customWidth="1" min="15" max="15" width="13.0"/>
    <col customWidth="1" min="16" max="16" width="16.0"/>
    <col customWidth="1" min="17" max="25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60.0" customHeight="1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7" t="s">
        <v>16</v>
      </c>
      <c r="P3" s="7" t="s">
        <v>17</v>
      </c>
    </row>
    <row r="4" ht="48.0" customHeight="1">
      <c r="A4" s="8" t="s">
        <v>18</v>
      </c>
      <c r="B4" s="9" t="s">
        <v>19</v>
      </c>
      <c r="C4" s="10" t="s">
        <v>20</v>
      </c>
      <c r="D4" s="11" t="s">
        <v>21</v>
      </c>
      <c r="E4" s="12">
        <v>4.0</v>
      </c>
      <c r="F4" s="13">
        <v>4.0</v>
      </c>
      <c r="G4" s="13">
        <v>4.0</v>
      </c>
      <c r="H4" s="13">
        <v>4.0</v>
      </c>
      <c r="I4" s="13">
        <v>2.0</v>
      </c>
      <c r="J4" s="13">
        <v>4.0</v>
      </c>
      <c r="K4" s="13">
        <v>4.0</v>
      </c>
      <c r="L4" s="13">
        <v>4.0</v>
      </c>
      <c r="M4" s="13">
        <v>4.0</v>
      </c>
      <c r="N4" s="13">
        <v>1.0</v>
      </c>
      <c r="O4" s="14">
        <f t="shared" ref="O4:O9" si="1">+((3*E4)+(2*F4)+(G4)+(H4)+(I4)+(J4)+(K4)+(L4)+(M4)+(N4))</f>
        <v>47</v>
      </c>
      <c r="P4" s="15" t="s">
        <v>22</v>
      </c>
    </row>
    <row r="5" ht="48.0" customHeight="1">
      <c r="A5" s="8" t="s">
        <v>23</v>
      </c>
      <c r="B5" s="9" t="s">
        <v>24</v>
      </c>
      <c r="C5" s="10" t="s">
        <v>25</v>
      </c>
      <c r="D5" s="11" t="s">
        <v>21</v>
      </c>
      <c r="E5" s="13">
        <v>4.0</v>
      </c>
      <c r="F5" s="13">
        <v>4.0</v>
      </c>
      <c r="G5" s="13">
        <v>4.0</v>
      </c>
      <c r="H5" s="13">
        <v>4.0</v>
      </c>
      <c r="I5" s="13">
        <v>2.0</v>
      </c>
      <c r="J5" s="13">
        <v>2.0</v>
      </c>
      <c r="K5" s="13">
        <v>4.0</v>
      </c>
      <c r="L5" s="13">
        <v>4.0</v>
      </c>
      <c r="M5" s="13">
        <v>4.0</v>
      </c>
      <c r="N5" s="13">
        <v>2.0</v>
      </c>
      <c r="O5" s="14">
        <f t="shared" si="1"/>
        <v>46</v>
      </c>
      <c r="P5" s="15" t="s">
        <v>22</v>
      </c>
    </row>
    <row r="6" ht="48.0" customHeight="1">
      <c r="A6" s="8" t="s">
        <v>26</v>
      </c>
      <c r="B6" s="9" t="s">
        <v>27</v>
      </c>
      <c r="C6" s="10" t="s">
        <v>28</v>
      </c>
      <c r="D6" s="11" t="s">
        <v>21</v>
      </c>
      <c r="E6" s="13">
        <v>4.0</v>
      </c>
      <c r="F6" s="13">
        <v>4.0</v>
      </c>
      <c r="G6" s="13">
        <v>4.0</v>
      </c>
      <c r="H6" s="13">
        <v>4.0</v>
      </c>
      <c r="I6" s="13">
        <v>2.0</v>
      </c>
      <c r="J6" s="13">
        <v>4.0</v>
      </c>
      <c r="K6" s="13">
        <v>4.0</v>
      </c>
      <c r="L6" s="13">
        <v>4.0</v>
      </c>
      <c r="M6" s="13">
        <v>4.0</v>
      </c>
      <c r="N6" s="13">
        <v>1.0</v>
      </c>
      <c r="O6" s="14">
        <f t="shared" si="1"/>
        <v>47</v>
      </c>
      <c r="P6" s="15" t="s">
        <v>22</v>
      </c>
    </row>
    <row r="7" ht="48.0" customHeight="1">
      <c r="A7" s="8" t="s">
        <v>29</v>
      </c>
      <c r="B7" s="9" t="s">
        <v>30</v>
      </c>
      <c r="C7" s="10" t="s">
        <v>31</v>
      </c>
      <c r="D7" s="11" t="s">
        <v>21</v>
      </c>
      <c r="E7" s="13">
        <v>4.0</v>
      </c>
      <c r="F7" s="13">
        <v>2.0</v>
      </c>
      <c r="G7" s="13">
        <v>4.0</v>
      </c>
      <c r="H7" s="13">
        <v>4.0</v>
      </c>
      <c r="I7" s="13">
        <v>2.0</v>
      </c>
      <c r="J7" s="13">
        <v>2.0</v>
      </c>
      <c r="K7" s="13">
        <v>4.0</v>
      </c>
      <c r="L7" s="13">
        <v>4.0</v>
      </c>
      <c r="M7" s="13">
        <v>4.0</v>
      </c>
      <c r="N7" s="13">
        <v>1.0</v>
      </c>
      <c r="O7" s="14">
        <f t="shared" si="1"/>
        <v>41</v>
      </c>
      <c r="P7" s="15" t="s">
        <v>22</v>
      </c>
    </row>
    <row r="8" ht="48.0" customHeight="1">
      <c r="A8" s="8" t="s">
        <v>32</v>
      </c>
      <c r="B8" s="9" t="s">
        <v>33</v>
      </c>
      <c r="C8" s="10" t="s">
        <v>34</v>
      </c>
      <c r="D8" s="11" t="s">
        <v>21</v>
      </c>
      <c r="E8" s="13">
        <v>4.0</v>
      </c>
      <c r="F8" s="13">
        <v>2.0</v>
      </c>
      <c r="G8" s="13">
        <v>4.0</v>
      </c>
      <c r="H8" s="13">
        <v>4.0</v>
      </c>
      <c r="I8" s="13">
        <v>2.0</v>
      </c>
      <c r="J8" s="13">
        <v>2.0</v>
      </c>
      <c r="K8" s="13">
        <v>4.0</v>
      </c>
      <c r="L8" s="13">
        <v>4.0</v>
      </c>
      <c r="M8" s="13">
        <v>4.0</v>
      </c>
      <c r="N8" s="13">
        <v>1.0</v>
      </c>
      <c r="O8" s="14">
        <f t="shared" si="1"/>
        <v>41</v>
      </c>
      <c r="P8" s="15" t="s">
        <v>22</v>
      </c>
    </row>
    <row r="9" ht="48.0" customHeight="1">
      <c r="A9" s="8" t="s">
        <v>35</v>
      </c>
      <c r="B9" s="9" t="s">
        <v>36</v>
      </c>
      <c r="C9" s="10" t="s">
        <v>37</v>
      </c>
      <c r="D9" s="11" t="s">
        <v>21</v>
      </c>
      <c r="E9" s="12">
        <v>4.0</v>
      </c>
      <c r="F9" s="12">
        <v>4.0</v>
      </c>
      <c r="G9" s="13">
        <v>4.0</v>
      </c>
      <c r="H9" s="13">
        <v>4.0</v>
      </c>
      <c r="I9" s="13">
        <v>2.0</v>
      </c>
      <c r="J9" s="13">
        <v>4.0</v>
      </c>
      <c r="K9" s="13">
        <v>4.0</v>
      </c>
      <c r="L9" s="13">
        <v>4.0</v>
      </c>
      <c r="M9" s="13">
        <v>4.0</v>
      </c>
      <c r="N9" s="13">
        <v>1.0</v>
      </c>
      <c r="O9" s="14">
        <f t="shared" si="1"/>
        <v>47</v>
      </c>
      <c r="P9" s="15" t="s">
        <v>22</v>
      </c>
    </row>
    <row r="10" ht="48.0" customHeight="1">
      <c r="A10" s="8" t="s">
        <v>38</v>
      </c>
      <c r="B10" s="9" t="s">
        <v>39</v>
      </c>
      <c r="C10" s="10" t="s">
        <v>40</v>
      </c>
      <c r="D10" s="16" t="s">
        <v>41</v>
      </c>
      <c r="E10" s="13">
        <v>1.0</v>
      </c>
      <c r="F10" s="13">
        <v>1.0</v>
      </c>
      <c r="G10" s="13">
        <v>4.0</v>
      </c>
      <c r="H10" s="13">
        <v>4.0</v>
      </c>
      <c r="I10" s="13">
        <v>4.0</v>
      </c>
      <c r="J10" s="13">
        <v>1.0</v>
      </c>
      <c r="K10" s="13">
        <v>1.0</v>
      </c>
      <c r="L10" s="13">
        <v>1.0</v>
      </c>
      <c r="M10" s="13">
        <v>4.0</v>
      </c>
      <c r="N10" s="13">
        <v>2.0</v>
      </c>
      <c r="O10" s="14">
        <f t="shared" ref="O10:O13" si="2">-((3*E10)+(2*F10)+(G10)+(H10)+(I10)+(J10)+(K10)+(L10)+(M10)+(N10))</f>
        <v>-26</v>
      </c>
      <c r="P10" s="15" t="s">
        <v>22</v>
      </c>
    </row>
    <row r="11" ht="48.0" customHeight="1">
      <c r="A11" s="8" t="s">
        <v>42</v>
      </c>
      <c r="B11" s="9" t="s">
        <v>30</v>
      </c>
      <c r="C11" s="17" t="s">
        <v>43</v>
      </c>
      <c r="D11" s="16" t="s">
        <v>41</v>
      </c>
      <c r="E11" s="12">
        <v>1.0</v>
      </c>
      <c r="F11" s="12">
        <v>1.0</v>
      </c>
      <c r="G11" s="12">
        <v>2.0</v>
      </c>
      <c r="H11" s="12">
        <v>2.0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4">
        <f t="shared" si="2"/>
        <v>-15</v>
      </c>
      <c r="P11" s="18" t="s">
        <v>44</v>
      </c>
    </row>
    <row r="12" ht="48.0" customHeight="1">
      <c r="A12" s="8" t="s">
        <v>45</v>
      </c>
      <c r="B12" s="19" t="s">
        <v>46</v>
      </c>
      <c r="C12" s="20" t="s">
        <v>47</v>
      </c>
      <c r="D12" s="16" t="s">
        <v>41</v>
      </c>
      <c r="E12" s="21">
        <v>2.0</v>
      </c>
      <c r="F12" s="21">
        <v>1.0</v>
      </c>
      <c r="G12" s="21">
        <v>2.0</v>
      </c>
      <c r="H12" s="21">
        <v>2.0</v>
      </c>
      <c r="I12" s="21">
        <v>1.0</v>
      </c>
      <c r="J12" s="21">
        <v>2.0</v>
      </c>
      <c r="K12" s="21">
        <v>2.0</v>
      </c>
      <c r="L12" s="21">
        <v>1.0</v>
      </c>
      <c r="M12" s="21">
        <v>2.0</v>
      </c>
      <c r="N12" s="21">
        <v>1.0</v>
      </c>
      <c r="O12" s="14">
        <f t="shared" si="2"/>
        <v>-21</v>
      </c>
      <c r="P12" s="18" t="s">
        <v>44</v>
      </c>
    </row>
    <row r="13" ht="48.0" customHeight="1">
      <c r="A13" s="8" t="s">
        <v>48</v>
      </c>
      <c r="B13" s="19" t="s">
        <v>46</v>
      </c>
      <c r="C13" s="20" t="s">
        <v>49</v>
      </c>
      <c r="D13" s="16" t="s">
        <v>41</v>
      </c>
      <c r="E13" s="21">
        <v>2.0</v>
      </c>
      <c r="F13" s="21">
        <v>1.0</v>
      </c>
      <c r="G13" s="21">
        <v>2.0</v>
      </c>
      <c r="H13" s="21">
        <v>2.0</v>
      </c>
      <c r="I13" s="21">
        <v>2.0</v>
      </c>
      <c r="J13" s="21">
        <v>2.0</v>
      </c>
      <c r="K13" s="21">
        <v>2.0</v>
      </c>
      <c r="L13" s="21">
        <v>1.0</v>
      </c>
      <c r="M13" s="21">
        <v>2.0</v>
      </c>
      <c r="N13" s="21">
        <v>1.0</v>
      </c>
      <c r="O13" s="14">
        <f t="shared" si="2"/>
        <v>-22</v>
      </c>
      <c r="P13" s="18" t="s">
        <v>44</v>
      </c>
    </row>
    <row r="15" ht="18.0" customHeight="1">
      <c r="A15" s="22" t="s">
        <v>50</v>
      </c>
      <c r="B15" s="2"/>
      <c r="C15" s="2"/>
      <c r="D15" s="3"/>
    </row>
    <row r="16" ht="15.75" customHeight="1">
      <c r="A16" s="23" t="s">
        <v>51</v>
      </c>
      <c r="B16" s="23" t="s">
        <v>52</v>
      </c>
      <c r="C16" s="23" t="s">
        <v>53</v>
      </c>
      <c r="D16" s="23" t="s">
        <v>54</v>
      </c>
      <c r="E16" s="23" t="s">
        <v>55</v>
      </c>
      <c r="F16" s="23" t="s">
        <v>56</v>
      </c>
    </row>
    <row r="17" ht="21.75" customHeight="1">
      <c r="A17" s="24">
        <v>6.0</v>
      </c>
      <c r="B17" s="25">
        <v>4.0</v>
      </c>
      <c r="C17" s="26">
        <v>3.0</v>
      </c>
      <c r="D17" s="27">
        <v>7.0</v>
      </c>
      <c r="E17" s="28">
        <v>0.0</v>
      </c>
      <c r="F17" s="29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P1"/>
    <mergeCell ref="A2:P2"/>
    <mergeCell ref="A15:D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5.0"/>
    <col customWidth="1" min="3" max="3" width="20.0"/>
    <col customWidth="1" min="4" max="4" width="35.0"/>
    <col customWidth="1" min="5" max="26" width="8.71"/>
  </cols>
  <sheetData>
    <row r="1">
      <c r="A1" s="30" t="s">
        <v>57</v>
      </c>
    </row>
    <row r="3">
      <c r="A3" s="31" t="s">
        <v>58</v>
      </c>
      <c r="B3" s="31" t="s">
        <v>59</v>
      </c>
      <c r="C3" s="31" t="s">
        <v>60</v>
      </c>
      <c r="D3" s="31" t="s">
        <v>61</v>
      </c>
    </row>
    <row r="4">
      <c r="A4" s="32" t="s">
        <v>62</v>
      </c>
      <c r="B4" s="10" t="s">
        <v>63</v>
      </c>
      <c r="C4" s="10" t="s">
        <v>64</v>
      </c>
      <c r="D4" s="10" t="s">
        <v>65</v>
      </c>
    </row>
    <row r="5">
      <c r="A5" s="32" t="s">
        <v>66</v>
      </c>
      <c r="B5" s="33" t="s">
        <v>67</v>
      </c>
      <c r="C5" s="33" t="s">
        <v>68</v>
      </c>
      <c r="D5" s="33" t="s">
        <v>69</v>
      </c>
    </row>
    <row r="6">
      <c r="A6" s="32" t="s">
        <v>70</v>
      </c>
      <c r="B6" s="10" t="s">
        <v>71</v>
      </c>
      <c r="C6" s="10" t="s">
        <v>72</v>
      </c>
      <c r="D6" s="10" t="s">
        <v>73</v>
      </c>
    </row>
    <row r="7">
      <c r="A7" s="32" t="s">
        <v>74</v>
      </c>
      <c r="B7" s="33" t="s">
        <v>75</v>
      </c>
      <c r="C7" s="33" t="s">
        <v>72</v>
      </c>
      <c r="D7" s="33" t="s">
        <v>76</v>
      </c>
    </row>
    <row r="8">
      <c r="A8" s="32" t="s">
        <v>77</v>
      </c>
      <c r="B8" s="10" t="s">
        <v>78</v>
      </c>
      <c r="C8" s="10" t="s">
        <v>72</v>
      </c>
      <c r="D8" s="10" t="s">
        <v>79</v>
      </c>
    </row>
    <row r="9">
      <c r="A9" s="32" t="s">
        <v>80</v>
      </c>
      <c r="B9" s="33" t="s">
        <v>81</v>
      </c>
      <c r="C9" s="33" t="s">
        <v>72</v>
      </c>
      <c r="D9" s="33" t="s">
        <v>82</v>
      </c>
    </row>
    <row r="10">
      <c r="A10" s="32" t="s">
        <v>83</v>
      </c>
      <c r="B10" s="10" t="s">
        <v>84</v>
      </c>
      <c r="C10" s="10" t="s">
        <v>85</v>
      </c>
      <c r="D10" s="10" t="s">
        <v>86</v>
      </c>
    </row>
    <row r="11">
      <c r="A11" s="32" t="s">
        <v>87</v>
      </c>
      <c r="B11" s="33" t="s">
        <v>88</v>
      </c>
      <c r="C11" s="33" t="s">
        <v>85</v>
      </c>
      <c r="D11" s="33" t="s">
        <v>89</v>
      </c>
    </row>
    <row r="12">
      <c r="A12" s="32" t="s">
        <v>90</v>
      </c>
      <c r="B12" s="10" t="s">
        <v>91</v>
      </c>
      <c r="C12" s="10" t="s">
        <v>72</v>
      </c>
      <c r="D12" s="10" t="s">
        <v>92</v>
      </c>
    </row>
    <row r="13">
      <c r="A13" s="32" t="s">
        <v>93</v>
      </c>
      <c r="B13" s="33" t="s">
        <v>94</v>
      </c>
      <c r="C13" s="33" t="s">
        <v>68</v>
      </c>
      <c r="D13" s="33" t="s">
        <v>95</v>
      </c>
    </row>
    <row r="16" ht="15.75" customHeight="1">
      <c r="A16" s="31" t="s">
        <v>96</v>
      </c>
      <c r="B16" s="31"/>
      <c r="C16" s="31"/>
    </row>
    <row r="17" ht="15.75" customHeight="1">
      <c r="A17" s="34" t="s">
        <v>97</v>
      </c>
      <c r="B17" s="34" t="s">
        <v>98</v>
      </c>
      <c r="C17" s="34" t="s">
        <v>99</v>
      </c>
    </row>
    <row r="18" ht="15.75" customHeight="1">
      <c r="A18" s="35" t="s">
        <v>100</v>
      </c>
      <c r="B18" s="35" t="s">
        <v>101</v>
      </c>
      <c r="C18" s="35" t="s">
        <v>102</v>
      </c>
    </row>
    <row r="19" ht="15.75" customHeight="1">
      <c r="A19" s="36" t="s">
        <v>103</v>
      </c>
      <c r="B19" s="36" t="s">
        <v>104</v>
      </c>
      <c r="C19" s="36" t="s">
        <v>105</v>
      </c>
    </row>
    <row r="20" ht="15.75" customHeight="1">
      <c r="A20" s="37" t="s">
        <v>106</v>
      </c>
      <c r="B20" s="37" t="s">
        <v>107</v>
      </c>
      <c r="C20" s="37" t="s">
        <v>108</v>
      </c>
    </row>
    <row r="21" ht="15.75" customHeight="1">
      <c r="A21" s="38" t="s">
        <v>109</v>
      </c>
      <c r="B21" s="38" t="s">
        <v>110</v>
      </c>
      <c r="C21" s="38" t="s">
        <v>111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